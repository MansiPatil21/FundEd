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  <sheet name="Daily by pair" sheetId="2" state="visible" r:id="rId2"/>
    <sheet name="Summary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reference rate by currency pair</a:t>
            </a:r>
          </a:p>
        </rich>
      </tx>
    </title>
    <plotArea>
      <lineChart>
        <grouping val="standard"/>
        <ser>
          <idx val="0"/>
          <order val="0"/>
          <tx>
            <strRef>
              <f>'Daily by pair'!B1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by pair'!$A$2:$A$23</f>
            </numRef>
          </cat>
          <val>
            <numRef>
              <f>'Daily by pair'!$B$2:$B$23</f>
            </numRef>
          </val>
        </ser>
        <ser>
          <idx val="1"/>
          <order val="1"/>
          <tx>
            <strRef>
              <f>'Daily by pair'!C1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by pair'!$A$2:$A$23</f>
            </numRef>
          </cat>
          <val>
            <numRef>
              <f>'Daily by pair'!$C$2:$C$23</f>
            </numRef>
          </val>
        </ser>
        <ser>
          <idx val="2"/>
          <order val="2"/>
          <tx>
            <strRef>
              <f>'Daily by pair'!D1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by pair'!$A$2:$A$23</f>
            </numRef>
          </cat>
          <val>
            <numRef>
              <f>'Daily by pair'!$D$2:$D$23</f>
            </numRef>
          </val>
        </ser>
        <ser>
          <idx val="3"/>
          <order val="3"/>
          <tx>
            <strRef>
              <f>'Daily by pair'!E1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'Daily by pair'!$A$2:$A$23</f>
            </numRef>
          </cat>
          <val>
            <numRef>
              <f>'Daily by pair'!$E$2:$E$23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Rate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Rate range per currency pair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'Summary'!F1</f>
            </strRef>
          </tx>
          <spPr>
            <a:ln>
              <a:prstDash val="solid"/>
            </a:ln>
          </spPr>
          <cat>
            <numRef>
              <f>'Summary'!$A$2:$A$5</f>
            </numRef>
          </cat>
          <val>
            <numRef>
              <f>'Summary'!$F$2:$F$5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25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tesTable" displayName="RatesTable" ref="A1:D89" headerRowCount="1">
  <autoFilter ref="A1:D89"/>
  <tableColumns count="4">
    <tableColumn id="1" name="Date"/>
    <tableColumn id="2" name="Currency pair"/>
    <tableColumn id="3" name="Rate"/>
    <tableColumn id="4" name="Daily mov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</cols>
  <sheetData>
    <row r="1">
      <c r="A1" t="inlineStr">
        <is>
          <t>Date</t>
        </is>
      </c>
      <c r="B1" t="inlineStr">
        <is>
          <t>Currency pair</t>
        </is>
      </c>
      <c r="C1" t="inlineStr">
        <is>
          <t>Rate</t>
        </is>
      </c>
      <c r="D1" t="inlineStr">
        <is>
          <t>Daily move</t>
        </is>
      </c>
    </row>
    <row r="2">
      <c r="A2" s="1" t="n">
        <v>46251</v>
      </c>
      <c r="B2" t="inlineStr">
        <is>
          <t>EUR/CAD</t>
        </is>
      </c>
      <c r="C2" s="2" t="n">
        <v>1.6067</v>
      </c>
      <c r="D2" s="3" t="n"/>
    </row>
    <row r="3">
      <c r="A3" s="1" t="n">
        <v>46251</v>
      </c>
      <c r="B3" t="inlineStr">
        <is>
          <t>EUR/GBP</t>
        </is>
      </c>
      <c r="C3" s="2" t="n">
        <v>0.855</v>
      </c>
      <c r="D3" s="3" t="n"/>
    </row>
    <row r="4">
      <c r="A4" s="1" t="n">
        <v>46251</v>
      </c>
      <c r="B4" t="inlineStr">
        <is>
          <t>EUR/INR</t>
        </is>
      </c>
      <c r="C4" s="2" t="n">
        <v>110.8375</v>
      </c>
      <c r="D4" s="3" t="n"/>
    </row>
    <row r="5">
      <c r="A5" s="1" t="n">
        <v>46251</v>
      </c>
      <c r="B5" t="inlineStr">
        <is>
          <t>EUR/USD</t>
        </is>
      </c>
      <c r="C5" s="2" t="n">
        <v>1.1593</v>
      </c>
      <c r="D5" s="3" t="n"/>
    </row>
    <row r="6">
      <c r="A6" s="1" t="n">
        <v>46252</v>
      </c>
      <c r="B6" t="inlineStr">
        <is>
          <t>EUR/CAD</t>
        </is>
      </c>
      <c r="C6" s="2" t="n">
        <v>1.606</v>
      </c>
      <c r="D6" s="3" t="n">
        <v>-0.0007</v>
      </c>
    </row>
    <row r="7">
      <c r="A7" s="1" t="n">
        <v>46252</v>
      </c>
      <c r="B7" t="inlineStr">
        <is>
          <t>EUR/GBP</t>
        </is>
      </c>
      <c r="C7" s="2" t="n">
        <v>0.85585</v>
      </c>
      <c r="D7" s="3" t="n">
        <v>0.00085</v>
      </c>
    </row>
    <row r="8">
      <c r="A8" s="1" t="n">
        <v>46252</v>
      </c>
      <c r="B8" t="inlineStr">
        <is>
          <t>EUR/INR</t>
        </is>
      </c>
      <c r="C8" s="2" t="n">
        <v>110.7673</v>
      </c>
      <c r="D8" s="3" t="n">
        <v>-0.0702</v>
      </c>
    </row>
    <row r="9">
      <c r="A9" s="1" t="n">
        <v>46252</v>
      </c>
      <c r="B9" t="inlineStr">
        <is>
          <t>EUR/USD</t>
        </is>
      </c>
      <c r="C9" s="2" t="n">
        <v>1.1576</v>
      </c>
      <c r="D9" s="3" t="n">
        <v>-0.0017</v>
      </c>
    </row>
    <row r="10">
      <c r="A10" s="1" t="n">
        <v>46253</v>
      </c>
      <c r="B10" t="inlineStr">
        <is>
          <t>EUR/CAD</t>
        </is>
      </c>
      <c r="C10" s="2" t="n">
        <v>1.6098</v>
      </c>
      <c r="D10" s="3" t="n">
        <v>0.0038</v>
      </c>
    </row>
    <row r="11">
      <c r="A11" s="1" t="n">
        <v>46253</v>
      </c>
      <c r="B11" t="inlineStr">
        <is>
          <t>EUR/GBP</t>
        </is>
      </c>
      <c r="C11" s="2" t="n">
        <v>0.85608</v>
      </c>
      <c r="D11" s="3" t="n">
        <v>0.00023</v>
      </c>
    </row>
    <row r="12">
      <c r="A12" s="1" t="n">
        <v>46253</v>
      </c>
      <c r="B12" t="inlineStr">
        <is>
          <t>EUR/INR</t>
        </is>
      </c>
      <c r="C12" s="2" t="n">
        <v>111.1265</v>
      </c>
      <c r="D12" s="3" t="n">
        <v>0.3592</v>
      </c>
    </row>
    <row r="13">
      <c r="A13" s="1" t="n">
        <v>46253</v>
      </c>
      <c r="B13" t="inlineStr">
        <is>
          <t>EUR/USD</t>
        </is>
      </c>
      <c r="C13" s="2" t="n">
        <v>1.1605</v>
      </c>
      <c r="D13" s="3" t="n">
        <v>0.0029</v>
      </c>
    </row>
    <row r="14">
      <c r="A14" s="1" t="n">
        <v>46254</v>
      </c>
      <c r="B14" t="inlineStr">
        <is>
          <t>EUR/CAD</t>
        </is>
      </c>
      <c r="C14" s="2" t="n">
        <v>1.6085</v>
      </c>
      <c r="D14" s="3" t="n">
        <v>-0.0013</v>
      </c>
    </row>
    <row r="15">
      <c r="A15" s="1" t="n">
        <v>46254</v>
      </c>
      <c r="B15" t="inlineStr">
        <is>
          <t>EUR/GBP</t>
        </is>
      </c>
      <c r="C15" s="2" t="n">
        <v>0.85725</v>
      </c>
      <c r="D15" s="3" t="n">
        <v>0.00117</v>
      </c>
    </row>
    <row r="16">
      <c r="A16" s="1" t="n">
        <v>46254</v>
      </c>
      <c r="B16" t="inlineStr">
        <is>
          <t>EUR/INR</t>
        </is>
      </c>
      <c r="C16" s="2" t="n">
        <v>111.7985</v>
      </c>
      <c r="D16" s="3" t="n">
        <v>0.672</v>
      </c>
    </row>
    <row r="17">
      <c r="A17" s="1" t="n">
        <v>46254</v>
      </c>
      <c r="B17" t="inlineStr">
        <is>
          <t>EUR/USD</t>
        </is>
      </c>
      <c r="C17" s="2" t="n">
        <v>1.1681</v>
      </c>
      <c r="D17" s="3" t="n">
        <v>0.0076</v>
      </c>
    </row>
    <row r="18">
      <c r="A18" s="1" t="n">
        <v>46255</v>
      </c>
      <c r="B18" t="inlineStr">
        <is>
          <t>EUR/CAD</t>
        </is>
      </c>
      <c r="C18" s="2" t="n">
        <v>1.6074</v>
      </c>
      <c r="D18" s="3" t="n">
        <v>-0.0011</v>
      </c>
    </row>
    <row r="19">
      <c r="A19" s="1" t="n">
        <v>46255</v>
      </c>
      <c r="B19" t="inlineStr">
        <is>
          <t>EUR/GBP</t>
        </is>
      </c>
      <c r="C19" s="2" t="n">
        <v>0.8567</v>
      </c>
      <c r="D19" s="3" t="n">
        <v>-0.00055</v>
      </c>
    </row>
    <row r="20">
      <c r="A20" s="1" t="n">
        <v>46255</v>
      </c>
      <c r="B20" t="inlineStr">
        <is>
          <t>EUR/INR</t>
        </is>
      </c>
      <c r="C20" s="2" t="n">
        <v>111.9595</v>
      </c>
      <c r="D20" s="3" t="n">
        <v>0.161</v>
      </c>
    </row>
    <row r="21">
      <c r="A21" s="1" t="n">
        <v>46255</v>
      </c>
      <c r="B21" t="inlineStr">
        <is>
          <t>EUR/USD</t>
        </is>
      </c>
      <c r="C21" s="2" t="n">
        <v>1.1699</v>
      </c>
      <c r="D21" s="3" t="n">
        <v>0.0018</v>
      </c>
    </row>
    <row r="22">
      <c r="A22" s="1" t="n">
        <v>46258</v>
      </c>
      <c r="B22" t="inlineStr">
        <is>
          <t>EUR/CAD</t>
        </is>
      </c>
      <c r="C22" s="2" t="n">
        <v>1.6154</v>
      </c>
      <c r="D22" s="3" t="n">
        <v>0.008</v>
      </c>
    </row>
    <row r="23">
      <c r="A23" s="1" t="n">
        <v>46258</v>
      </c>
      <c r="B23" t="inlineStr">
        <is>
          <t>EUR/GBP</t>
        </is>
      </c>
      <c r="C23" s="2" t="n">
        <v>0.8555</v>
      </c>
      <c r="D23" s="3" t="n">
        <v>-0.0012</v>
      </c>
    </row>
    <row r="24">
      <c r="A24" s="1" t="n">
        <v>46258</v>
      </c>
      <c r="B24" t="inlineStr">
        <is>
          <t>EUR/INR</t>
        </is>
      </c>
      <c r="C24" s="2" t="n">
        <v>111.6875</v>
      </c>
      <c r="D24" s="3" t="n">
        <v>-0.272</v>
      </c>
    </row>
    <row r="25">
      <c r="A25" s="1" t="n">
        <v>46258</v>
      </c>
      <c r="B25" t="inlineStr">
        <is>
          <t>EUR/USD</t>
        </is>
      </c>
      <c r="C25" s="2" t="n">
        <v>1.1664</v>
      </c>
      <c r="D25" s="3" t="n">
        <v>-0.0035</v>
      </c>
    </row>
    <row r="26">
      <c r="A26" s="1" t="n">
        <v>46259</v>
      </c>
      <c r="B26" t="inlineStr">
        <is>
          <t>EUR/CAD</t>
        </is>
      </c>
      <c r="C26" s="2" t="n">
        <v>1.6163</v>
      </c>
      <c r="D26" s="3" t="n">
        <v>0.0009</v>
      </c>
    </row>
    <row r="27">
      <c r="A27" s="1" t="n">
        <v>46259</v>
      </c>
      <c r="B27" t="inlineStr">
        <is>
          <t>EUR/GBP</t>
        </is>
      </c>
      <c r="C27" s="2" t="n">
        <v>0.8555</v>
      </c>
      <c r="D27" s="3" t="n">
        <v>0</v>
      </c>
    </row>
    <row r="28">
      <c r="A28" s="1" t="n">
        <v>46259</v>
      </c>
      <c r="B28" t="inlineStr">
        <is>
          <t>EUR/INR</t>
        </is>
      </c>
      <c r="C28" s="2" t="n">
        <v>111.276</v>
      </c>
      <c r="D28" s="3" t="n">
        <v>-0.4115</v>
      </c>
    </row>
    <row r="29">
      <c r="A29" s="1" t="n">
        <v>46259</v>
      </c>
      <c r="B29" t="inlineStr">
        <is>
          <t>EUR/USD</t>
        </is>
      </c>
      <c r="C29" s="2" t="n">
        <v>1.1662</v>
      </c>
      <c r="D29" s="3" t="n">
        <v>-0.0002</v>
      </c>
    </row>
    <row r="30">
      <c r="A30" s="1" t="n">
        <v>46260</v>
      </c>
      <c r="B30" t="inlineStr">
        <is>
          <t>EUR/CAD</t>
        </is>
      </c>
      <c r="C30" s="2" t="n">
        <v>1.6176</v>
      </c>
      <c r="D30" s="3" t="n">
        <v>0.0013</v>
      </c>
    </row>
    <row r="31">
      <c r="A31" s="1" t="n">
        <v>46260</v>
      </c>
      <c r="B31" t="inlineStr">
        <is>
          <t>EUR/GBP</t>
        </is>
      </c>
      <c r="C31" s="2" t="n">
        <v>0.8561299999999999</v>
      </c>
      <c r="D31" s="3" t="n">
        <v>0.00063</v>
      </c>
    </row>
    <row r="32">
      <c r="A32" s="1" t="n">
        <v>46260</v>
      </c>
      <c r="B32" t="inlineStr">
        <is>
          <t>EUR/INR</t>
        </is>
      </c>
      <c r="C32" s="2" t="n">
        <v>111.3475</v>
      </c>
      <c r="D32" s="3" t="n">
        <v>0.07149999999999999</v>
      </c>
    </row>
    <row r="33">
      <c r="A33" s="1" t="n">
        <v>46260</v>
      </c>
      <c r="B33" t="inlineStr">
        <is>
          <t>EUR/USD</t>
        </is>
      </c>
      <c r="C33" s="2" t="n">
        <v>1.1669</v>
      </c>
      <c r="D33" s="3" t="n">
        <v>0.0007</v>
      </c>
    </row>
    <row r="34">
      <c r="A34" s="1" t="n">
        <v>46261</v>
      </c>
      <c r="B34" t="inlineStr">
        <is>
          <t>EUR/CAD</t>
        </is>
      </c>
      <c r="C34" s="2" t="n">
        <v>1.6151</v>
      </c>
      <c r="D34" s="3" t="n">
        <v>-0.0025</v>
      </c>
    </row>
    <row r="35">
      <c r="A35" s="1" t="n">
        <v>46261</v>
      </c>
      <c r="B35" t="inlineStr">
        <is>
          <t>EUR/GBP</t>
        </is>
      </c>
      <c r="C35" s="2" t="n">
        <v>0.8574000000000001</v>
      </c>
      <c r="D35" s="3" t="n">
        <v>0.00127</v>
      </c>
    </row>
    <row r="36">
      <c r="A36" s="1" t="n">
        <v>46261</v>
      </c>
      <c r="B36" t="inlineStr">
        <is>
          <t>EUR/INR</t>
        </is>
      </c>
      <c r="C36" s="2" t="n">
        <v>111.2575</v>
      </c>
      <c r="D36" s="3" t="n">
        <v>-0.09</v>
      </c>
    </row>
    <row r="37">
      <c r="A37" s="1" t="n">
        <v>46261</v>
      </c>
      <c r="B37" t="inlineStr">
        <is>
          <t>EUR/USD</t>
        </is>
      </c>
      <c r="C37" s="2" t="n">
        <v>1.1645</v>
      </c>
      <c r="D37" s="3" t="n">
        <v>-0.0024</v>
      </c>
    </row>
    <row r="38">
      <c r="A38" s="1" t="n">
        <v>46262</v>
      </c>
      <c r="B38" t="inlineStr">
        <is>
          <t>EUR/CAD</t>
        </is>
      </c>
      <c r="C38" s="2" t="n">
        <v>1.613</v>
      </c>
      <c r="D38" s="3" t="n">
        <v>-0.0021</v>
      </c>
    </row>
    <row r="39">
      <c r="A39" s="1" t="n">
        <v>46262</v>
      </c>
      <c r="B39" t="inlineStr">
        <is>
          <t>EUR/GBP</t>
        </is>
      </c>
      <c r="C39" s="2" t="n">
        <v>0.8572</v>
      </c>
      <c r="D39" s="3" t="n">
        <v>-0.0002</v>
      </c>
    </row>
    <row r="40">
      <c r="A40" s="1" t="n">
        <v>46262</v>
      </c>
      <c r="B40" t="inlineStr">
        <is>
          <t>EUR/INR</t>
        </is>
      </c>
      <c r="C40" s="2" t="n">
        <v>111.0585</v>
      </c>
      <c r="D40" s="3" t="n">
        <v>-0.199</v>
      </c>
    </row>
    <row r="41">
      <c r="A41" s="1" t="n">
        <v>46262</v>
      </c>
      <c r="B41" t="inlineStr">
        <is>
          <t>EUR/USD</t>
        </is>
      </c>
      <c r="C41" s="2" t="n">
        <v>1.1643</v>
      </c>
      <c r="D41" s="3" t="n">
        <v>-0.0002</v>
      </c>
    </row>
    <row r="42">
      <c r="A42" s="1" t="n">
        <v>46265</v>
      </c>
      <c r="B42" t="inlineStr">
        <is>
          <t>EUR/CAD</t>
        </is>
      </c>
      <c r="C42" s="2" t="n">
        <v>1.6102</v>
      </c>
      <c r="D42" s="3" t="n">
        <v>-0.0028</v>
      </c>
    </row>
    <row r="43">
      <c r="A43" s="1" t="n">
        <v>46265</v>
      </c>
      <c r="B43" t="inlineStr">
        <is>
          <t>EUR/GBP</t>
        </is>
      </c>
      <c r="C43" s="2" t="n">
        <v>0.85648</v>
      </c>
      <c r="D43" s="3" t="n">
        <v>-0.00072</v>
      </c>
    </row>
    <row r="44">
      <c r="A44" s="1" t="n">
        <v>46265</v>
      </c>
      <c r="B44" t="inlineStr">
        <is>
          <t>EUR/INR</t>
        </is>
      </c>
      <c r="C44" s="2" t="n">
        <v>110.361</v>
      </c>
      <c r="D44" s="3" t="n">
        <v>-0.6975</v>
      </c>
    </row>
    <row r="45">
      <c r="A45" s="1" t="n">
        <v>46265</v>
      </c>
      <c r="B45" t="inlineStr">
        <is>
          <t>EUR/USD</t>
        </is>
      </c>
      <c r="C45" s="2" t="n">
        <v>1.1596</v>
      </c>
      <c r="D45" s="3" t="n">
        <v>-0.0047</v>
      </c>
    </row>
    <row r="46">
      <c r="A46" s="1" t="n">
        <v>46266</v>
      </c>
      <c r="B46" t="inlineStr">
        <is>
          <t>EUR/CAD</t>
        </is>
      </c>
      <c r="C46" s="2" t="n">
        <v>1.6096</v>
      </c>
      <c r="D46" s="3" t="n">
        <v>-0.0005999999999999999</v>
      </c>
    </row>
    <row r="47">
      <c r="A47" s="1" t="n">
        <v>46266</v>
      </c>
      <c r="B47" t="inlineStr">
        <is>
          <t>EUR/GBP</t>
        </is>
      </c>
      <c r="C47" s="2" t="n">
        <v>0.85655</v>
      </c>
      <c r="D47" s="3" t="n">
        <v>6.999999999999999e-05</v>
      </c>
    </row>
    <row r="48">
      <c r="A48" s="1" t="n">
        <v>46266</v>
      </c>
      <c r="B48" t="inlineStr">
        <is>
          <t>EUR/INR</t>
        </is>
      </c>
      <c r="C48" s="2" t="n">
        <v>110.0485</v>
      </c>
      <c r="D48" s="3" t="n">
        <v>-0.3125</v>
      </c>
    </row>
    <row r="49">
      <c r="A49" s="1" t="n">
        <v>46266</v>
      </c>
      <c r="B49" t="inlineStr">
        <is>
          <t>EUR/USD</t>
        </is>
      </c>
      <c r="C49" s="2" t="n">
        <v>1.159</v>
      </c>
      <c r="D49" s="3" t="n">
        <v>-0.0005999999999999999</v>
      </c>
    </row>
    <row r="50">
      <c r="A50" s="1" t="n">
        <v>46267</v>
      </c>
      <c r="B50" t="inlineStr">
        <is>
          <t>EUR/CAD</t>
        </is>
      </c>
      <c r="C50" s="2" t="n">
        <v>1.6122</v>
      </c>
      <c r="D50" s="3" t="n">
        <v>0.0026</v>
      </c>
    </row>
    <row r="51">
      <c r="A51" s="1" t="n">
        <v>46267</v>
      </c>
      <c r="B51" t="inlineStr">
        <is>
          <t>EUR/GBP</t>
        </is>
      </c>
      <c r="C51" s="2" t="n">
        <v>0.8587</v>
      </c>
      <c r="D51" s="3" t="n">
        <v>0.00215</v>
      </c>
    </row>
    <row r="52">
      <c r="A52" s="1" t="n">
        <v>46267</v>
      </c>
      <c r="B52" t="inlineStr">
        <is>
          <t>EUR/INR</t>
        </is>
      </c>
      <c r="C52" s="2" t="n">
        <v>109.962</v>
      </c>
      <c r="D52" s="3" t="n">
        <v>-0.08649999999999999</v>
      </c>
    </row>
    <row r="53">
      <c r="A53" s="1" t="n">
        <v>46267</v>
      </c>
      <c r="B53" t="inlineStr">
        <is>
          <t>EUR/USD</t>
        </is>
      </c>
      <c r="C53" s="2" t="n">
        <v>1.1578</v>
      </c>
      <c r="D53" s="3" t="n">
        <v>-0.0012</v>
      </c>
    </row>
    <row r="54">
      <c r="A54" s="1" t="n">
        <v>46268</v>
      </c>
      <c r="B54" t="inlineStr">
        <is>
          <t>EUR/CAD</t>
        </is>
      </c>
      <c r="C54" s="2" t="n">
        <v>1.6019</v>
      </c>
      <c r="D54" s="3" t="n">
        <v>-0.0103</v>
      </c>
    </row>
    <row r="55">
      <c r="A55" s="1" t="n">
        <v>46268</v>
      </c>
      <c r="B55" t="inlineStr">
        <is>
          <t>EUR/GBP</t>
        </is>
      </c>
      <c r="C55" s="2" t="n">
        <v>0.86055</v>
      </c>
      <c r="D55" s="3" t="n">
        <v>0.00185</v>
      </c>
    </row>
    <row r="56">
      <c r="A56" s="1" t="n">
        <v>46268</v>
      </c>
      <c r="B56" t="inlineStr">
        <is>
          <t>EUR/INR</t>
        </is>
      </c>
      <c r="C56" s="2" t="n">
        <v>109.75</v>
      </c>
      <c r="D56" s="3" t="n">
        <v>-0.212</v>
      </c>
    </row>
    <row r="57">
      <c r="A57" s="1" t="n">
        <v>46268</v>
      </c>
      <c r="B57" t="inlineStr">
        <is>
          <t>EUR/USD</t>
        </is>
      </c>
      <c r="C57" s="2" t="n">
        <v>1.1615</v>
      </c>
      <c r="D57" s="3" t="n">
        <v>0.0037</v>
      </c>
    </row>
    <row r="58">
      <c r="A58" s="1" t="n">
        <v>46269</v>
      </c>
      <c r="B58" t="inlineStr">
        <is>
          <t>EUR/CAD</t>
        </is>
      </c>
      <c r="C58" s="2" t="n">
        <v>1.6038</v>
      </c>
      <c r="D58" s="3" t="n">
        <v>0.0019</v>
      </c>
    </row>
    <row r="59">
      <c r="A59" s="1" t="n">
        <v>46269</v>
      </c>
      <c r="B59" t="inlineStr">
        <is>
          <t>EUR/GBP</t>
        </is>
      </c>
      <c r="C59" s="2" t="n">
        <v>0.85898</v>
      </c>
      <c r="D59" s="3" t="n">
        <v>-0.00157</v>
      </c>
    </row>
    <row r="60">
      <c r="A60" s="1" t="n">
        <v>46269</v>
      </c>
      <c r="B60" t="inlineStr">
        <is>
          <t>EUR/INR</t>
        </is>
      </c>
      <c r="C60" s="2" t="n">
        <v>109.8165</v>
      </c>
      <c r="D60" s="3" t="n">
        <v>0.0665</v>
      </c>
    </row>
    <row r="61">
      <c r="A61" s="1" t="n">
        <v>46269</v>
      </c>
      <c r="B61" t="inlineStr">
        <is>
          <t>EUR/USD</t>
        </is>
      </c>
      <c r="C61" s="2" t="n">
        <v>1.1622</v>
      </c>
      <c r="D61" s="3" t="n">
        <v>0.0007</v>
      </c>
    </row>
    <row r="62">
      <c r="A62" s="1" t="n">
        <v>46272</v>
      </c>
      <c r="B62" t="inlineStr">
        <is>
          <t>EUR/CAD</t>
        </is>
      </c>
      <c r="C62" s="2" t="n">
        <v>1.6062</v>
      </c>
      <c r="D62" s="3" t="n">
        <v>0.0024</v>
      </c>
    </row>
    <row r="63">
      <c r="A63" s="1" t="n">
        <v>46272</v>
      </c>
      <c r="B63" t="inlineStr">
        <is>
          <t>EUR/GBP</t>
        </is>
      </c>
      <c r="C63" s="2" t="n">
        <v>0.85894</v>
      </c>
      <c r="D63" s="3" t="n">
        <v>-4e-05</v>
      </c>
    </row>
    <row r="64">
      <c r="A64" s="1" t="n">
        <v>46272</v>
      </c>
      <c r="B64" t="inlineStr">
        <is>
          <t>EUR/INR</t>
        </is>
      </c>
      <c r="C64" s="2" t="n">
        <v>109.821</v>
      </c>
      <c r="D64" s="3" t="n">
        <v>0.0045</v>
      </c>
    </row>
    <row r="65">
      <c r="A65" s="1" t="n">
        <v>46272</v>
      </c>
      <c r="B65" t="inlineStr">
        <is>
          <t>EUR/USD</t>
        </is>
      </c>
      <c r="C65" s="2" t="n">
        <v>1.1622</v>
      </c>
      <c r="D65" s="3" t="n">
        <v>0</v>
      </c>
    </row>
    <row r="66">
      <c r="A66" s="1" t="n">
        <v>46273</v>
      </c>
      <c r="B66" t="inlineStr">
        <is>
          <t>EUR/CAD</t>
        </is>
      </c>
      <c r="C66" s="2" t="n">
        <v>1.6033</v>
      </c>
      <c r="D66" s="3" t="n">
        <v>-0.0029</v>
      </c>
    </row>
    <row r="67">
      <c r="A67" s="1" t="n">
        <v>46273</v>
      </c>
      <c r="B67" t="inlineStr">
        <is>
          <t>EUR/GBP</t>
        </is>
      </c>
      <c r="C67" s="2" t="n">
        <v>0.8574000000000001</v>
      </c>
      <c r="D67" s="3" t="n">
        <v>-0.00154</v>
      </c>
    </row>
    <row r="68">
      <c r="A68" s="1" t="n">
        <v>46273</v>
      </c>
      <c r="B68" t="inlineStr">
        <is>
          <t>EUR/INR</t>
        </is>
      </c>
      <c r="C68" s="2" t="n">
        <v>110.1315</v>
      </c>
      <c r="D68" s="3" t="n">
        <v>0.3105</v>
      </c>
    </row>
    <row r="69">
      <c r="A69" s="1" t="n">
        <v>46273</v>
      </c>
      <c r="B69" t="inlineStr">
        <is>
          <t>EUR/USD</t>
        </is>
      </c>
      <c r="C69" s="2" t="n">
        <v>1.1614</v>
      </c>
      <c r="D69" s="3" t="n">
        <v>-0.0008</v>
      </c>
    </row>
    <row r="70">
      <c r="A70" s="1" t="n">
        <v>46274</v>
      </c>
      <c r="B70" t="inlineStr">
        <is>
          <t>EUR/CAD</t>
        </is>
      </c>
      <c r="C70" s="2" t="n">
        <v>1.6043</v>
      </c>
      <c r="D70" s="3" t="n">
        <v>0.001</v>
      </c>
    </row>
    <row r="71">
      <c r="A71" s="1" t="n">
        <v>46274</v>
      </c>
      <c r="B71" t="inlineStr">
        <is>
          <t>EUR/GBP</t>
        </is>
      </c>
      <c r="C71" s="2" t="n">
        <v>0.85898</v>
      </c>
      <c r="D71" s="3" t="n">
        <v>0.00158</v>
      </c>
    </row>
    <row r="72">
      <c r="A72" s="1" t="n">
        <v>46274</v>
      </c>
      <c r="B72" t="inlineStr">
        <is>
          <t>EUR/INR</t>
        </is>
      </c>
      <c r="C72" s="2" t="n">
        <v>110.8225</v>
      </c>
      <c r="D72" s="3" t="n">
        <v>0.6909999999999999</v>
      </c>
    </row>
    <row r="73">
      <c r="A73" s="1" t="n">
        <v>46274</v>
      </c>
      <c r="B73" t="inlineStr">
        <is>
          <t>EUR/USD</t>
        </is>
      </c>
      <c r="C73" s="2" t="n">
        <v>1.1652</v>
      </c>
      <c r="D73" s="3" t="n">
        <v>0.0038</v>
      </c>
    </row>
    <row r="74">
      <c r="A74" s="1" t="n">
        <v>46275</v>
      </c>
      <c r="B74" t="inlineStr">
        <is>
          <t>EUR/CAD</t>
        </is>
      </c>
      <c r="C74" s="2" t="n">
        <v>1.6049</v>
      </c>
      <c r="D74" s="3" t="n">
        <v>0.0005999999999999999</v>
      </c>
    </row>
    <row r="75">
      <c r="A75" s="1" t="n">
        <v>46275</v>
      </c>
      <c r="B75" t="inlineStr">
        <is>
          <t>EUR/GBP</t>
        </is>
      </c>
      <c r="C75" s="2" t="n">
        <v>0.85915</v>
      </c>
      <c r="D75" s="3" t="n">
        <v>0.00017</v>
      </c>
    </row>
    <row r="76">
      <c r="A76" s="1" t="n">
        <v>46275</v>
      </c>
      <c r="B76" t="inlineStr">
        <is>
          <t>EUR/INR</t>
        </is>
      </c>
      <c r="C76" s="2" t="n">
        <v>110.8645</v>
      </c>
      <c r="D76" s="3" t="n">
        <v>0.042</v>
      </c>
    </row>
    <row r="77">
      <c r="A77" s="1" t="n">
        <v>46275</v>
      </c>
      <c r="B77" t="inlineStr">
        <is>
          <t>EUR/USD</t>
        </is>
      </c>
      <c r="C77" s="2" t="n">
        <v>1.1616</v>
      </c>
      <c r="D77" s="3" t="n">
        <v>-0.0036</v>
      </c>
    </row>
    <row r="78">
      <c r="A78" s="1" t="n">
        <v>46276</v>
      </c>
      <c r="B78" t="inlineStr">
        <is>
          <t>EUR/CAD</t>
        </is>
      </c>
      <c r="C78" s="2" t="n">
        <v>1.6064</v>
      </c>
      <c r="D78" s="3" t="n">
        <v>0.0015</v>
      </c>
    </row>
    <row r="79">
      <c r="A79" s="1" t="n">
        <v>46276</v>
      </c>
      <c r="B79" t="inlineStr">
        <is>
          <t>EUR/GBP</t>
        </is>
      </c>
      <c r="C79" s="2" t="n">
        <v>0.85815</v>
      </c>
      <c r="D79" s="3" t="n">
        <v>-0.001</v>
      </c>
    </row>
    <row r="80">
      <c r="A80" s="1" t="n">
        <v>46276</v>
      </c>
      <c r="B80" t="inlineStr">
        <is>
          <t>EUR/INR</t>
        </is>
      </c>
      <c r="C80" s="2" t="n">
        <v>110.7675</v>
      </c>
      <c r="D80" s="3" t="n">
        <v>-0.097</v>
      </c>
    </row>
    <row r="81">
      <c r="A81" s="1" t="n">
        <v>46276</v>
      </c>
      <c r="B81" t="inlineStr">
        <is>
          <t>EUR/USD</t>
        </is>
      </c>
      <c r="C81" s="2" t="n">
        <v>1.1592</v>
      </c>
      <c r="D81" s="3" t="n">
        <v>-0.0024</v>
      </c>
    </row>
    <row r="82">
      <c r="A82" s="1" t="n">
        <v>46279</v>
      </c>
      <c r="B82" t="inlineStr">
        <is>
          <t>EUR/CAD</t>
        </is>
      </c>
      <c r="C82" s="2" t="n">
        <v>1.6041</v>
      </c>
      <c r="D82" s="3" t="n">
        <v>-0.0023</v>
      </c>
    </row>
    <row r="83">
      <c r="A83" s="1" t="n">
        <v>46279</v>
      </c>
      <c r="B83" t="inlineStr">
        <is>
          <t>EUR/GBP</t>
        </is>
      </c>
      <c r="C83" s="2" t="n">
        <v>0.85598</v>
      </c>
      <c r="D83" s="3" t="n">
        <v>-0.00217</v>
      </c>
    </row>
    <row r="84">
      <c r="A84" s="1" t="n">
        <v>46279</v>
      </c>
      <c r="B84" t="inlineStr">
        <is>
          <t>EUR/INR</t>
        </is>
      </c>
      <c r="C84" s="2" t="n">
        <v>110.3755</v>
      </c>
      <c r="D84" s="3" t="n">
        <v>-0.392</v>
      </c>
    </row>
    <row r="85">
      <c r="A85" s="1" t="n">
        <v>46279</v>
      </c>
      <c r="B85" t="inlineStr">
        <is>
          <t>EUR/USD</t>
        </is>
      </c>
      <c r="C85" s="2" t="n">
        <v>1.1551</v>
      </c>
      <c r="D85" s="3" t="n">
        <v>-0.0041</v>
      </c>
    </row>
    <row r="86">
      <c r="A86" s="1" t="n">
        <v>46280</v>
      </c>
      <c r="B86" t="inlineStr">
        <is>
          <t>EUR/CAD</t>
        </is>
      </c>
      <c r="C86" s="2" t="n">
        <v>1.6062</v>
      </c>
      <c r="D86" s="3" t="n">
        <v>0.0021</v>
      </c>
    </row>
    <row r="87">
      <c r="A87" s="1" t="n">
        <v>46280</v>
      </c>
      <c r="B87" t="inlineStr">
        <is>
          <t>EUR/GBP</t>
        </is>
      </c>
      <c r="C87" s="2" t="n">
        <v>0.8558</v>
      </c>
      <c r="D87" s="3" t="n">
        <v>-0.00018</v>
      </c>
    </row>
    <row r="88">
      <c r="A88" s="1" t="n">
        <v>46280</v>
      </c>
      <c r="B88" t="inlineStr">
        <is>
          <t>EUR/INR</t>
        </is>
      </c>
      <c r="C88" s="2" t="n">
        <v>110.7285</v>
      </c>
      <c r="D88" s="3" t="n">
        <v>0.353</v>
      </c>
    </row>
    <row r="89">
      <c r="A89" s="1" t="n">
        <v>46280</v>
      </c>
      <c r="B89" t="inlineStr">
        <is>
          <t>EUR/USD</t>
        </is>
      </c>
      <c r="C89" s="2" t="n">
        <v>1.1539</v>
      </c>
      <c r="D89" s="3" t="n">
        <v>-0.0012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Date</t>
        </is>
      </c>
      <c r="B1" s="4" t="inlineStr">
        <is>
          <t>EUR/CAD</t>
        </is>
      </c>
      <c r="C1" s="4" t="inlineStr">
        <is>
          <t>EUR/GBP</t>
        </is>
      </c>
      <c r="D1" s="4" t="inlineStr">
        <is>
          <t>EUR/INR</t>
        </is>
      </c>
      <c r="E1" s="4" t="inlineStr">
        <is>
          <t>EUR/USD</t>
        </is>
      </c>
    </row>
    <row r="2">
      <c r="A2" s="1" t="n">
        <v>46251</v>
      </c>
      <c r="B2" s="3">
        <f>IFERROR(SUMIFS(Rates!$C:$C,Rates!$A:$A,$A2,Rates!$B:$B,B$1),"")</f>
        <v/>
      </c>
      <c r="C2" s="3">
        <f>IFERROR(SUMIFS(Rates!$C:$C,Rates!$A:$A,$A2,Rates!$B:$B,C$1),"")</f>
        <v/>
      </c>
      <c r="D2" s="3">
        <f>IFERROR(SUMIFS(Rates!$C:$C,Rates!$A:$A,$A2,Rates!$B:$B,D$1),"")</f>
        <v/>
      </c>
      <c r="E2" s="3">
        <f>IFERROR(SUMIFS(Rates!$C:$C,Rates!$A:$A,$A2,Rates!$B:$B,E$1),"")</f>
        <v/>
      </c>
    </row>
    <row r="3">
      <c r="A3" s="1" t="n">
        <v>46252</v>
      </c>
      <c r="B3" s="3">
        <f>IFERROR(SUMIFS(Rates!$C:$C,Rates!$A:$A,$A3,Rates!$B:$B,B$1),"")</f>
        <v/>
      </c>
      <c r="C3" s="3">
        <f>IFERROR(SUMIFS(Rates!$C:$C,Rates!$A:$A,$A3,Rates!$B:$B,C$1),"")</f>
        <v/>
      </c>
      <c r="D3" s="3">
        <f>IFERROR(SUMIFS(Rates!$C:$C,Rates!$A:$A,$A3,Rates!$B:$B,D$1),"")</f>
        <v/>
      </c>
      <c r="E3" s="3">
        <f>IFERROR(SUMIFS(Rates!$C:$C,Rates!$A:$A,$A3,Rates!$B:$B,E$1),"")</f>
        <v/>
      </c>
    </row>
    <row r="4">
      <c r="A4" s="1" t="n">
        <v>46253</v>
      </c>
      <c r="B4" s="3">
        <f>IFERROR(SUMIFS(Rates!$C:$C,Rates!$A:$A,$A4,Rates!$B:$B,B$1),"")</f>
        <v/>
      </c>
      <c r="C4" s="3">
        <f>IFERROR(SUMIFS(Rates!$C:$C,Rates!$A:$A,$A4,Rates!$B:$B,C$1),"")</f>
        <v/>
      </c>
      <c r="D4" s="3">
        <f>IFERROR(SUMIFS(Rates!$C:$C,Rates!$A:$A,$A4,Rates!$B:$B,D$1),"")</f>
        <v/>
      </c>
      <c r="E4" s="3">
        <f>IFERROR(SUMIFS(Rates!$C:$C,Rates!$A:$A,$A4,Rates!$B:$B,E$1),"")</f>
        <v/>
      </c>
    </row>
    <row r="5">
      <c r="A5" s="1" t="n">
        <v>46254</v>
      </c>
      <c r="B5" s="3">
        <f>IFERROR(SUMIFS(Rates!$C:$C,Rates!$A:$A,$A5,Rates!$B:$B,B$1),"")</f>
        <v/>
      </c>
      <c r="C5" s="3">
        <f>IFERROR(SUMIFS(Rates!$C:$C,Rates!$A:$A,$A5,Rates!$B:$B,C$1),"")</f>
        <v/>
      </c>
      <c r="D5" s="3">
        <f>IFERROR(SUMIFS(Rates!$C:$C,Rates!$A:$A,$A5,Rates!$B:$B,D$1),"")</f>
        <v/>
      </c>
      <c r="E5" s="3">
        <f>IFERROR(SUMIFS(Rates!$C:$C,Rates!$A:$A,$A5,Rates!$B:$B,E$1),"")</f>
        <v/>
      </c>
    </row>
    <row r="6">
      <c r="A6" s="1" t="n">
        <v>46255</v>
      </c>
      <c r="B6" s="3">
        <f>IFERROR(SUMIFS(Rates!$C:$C,Rates!$A:$A,$A6,Rates!$B:$B,B$1),"")</f>
        <v/>
      </c>
      <c r="C6" s="3">
        <f>IFERROR(SUMIFS(Rates!$C:$C,Rates!$A:$A,$A6,Rates!$B:$B,C$1),"")</f>
        <v/>
      </c>
      <c r="D6" s="3">
        <f>IFERROR(SUMIFS(Rates!$C:$C,Rates!$A:$A,$A6,Rates!$B:$B,D$1),"")</f>
        <v/>
      </c>
      <c r="E6" s="3">
        <f>IFERROR(SUMIFS(Rates!$C:$C,Rates!$A:$A,$A6,Rates!$B:$B,E$1),"")</f>
        <v/>
      </c>
    </row>
    <row r="7">
      <c r="A7" s="1" t="n">
        <v>46258</v>
      </c>
      <c r="B7" s="3">
        <f>IFERROR(SUMIFS(Rates!$C:$C,Rates!$A:$A,$A7,Rates!$B:$B,B$1),"")</f>
        <v/>
      </c>
      <c r="C7" s="3">
        <f>IFERROR(SUMIFS(Rates!$C:$C,Rates!$A:$A,$A7,Rates!$B:$B,C$1),"")</f>
        <v/>
      </c>
      <c r="D7" s="3">
        <f>IFERROR(SUMIFS(Rates!$C:$C,Rates!$A:$A,$A7,Rates!$B:$B,D$1),"")</f>
        <v/>
      </c>
      <c r="E7" s="3">
        <f>IFERROR(SUMIFS(Rates!$C:$C,Rates!$A:$A,$A7,Rates!$B:$B,E$1),"")</f>
        <v/>
      </c>
    </row>
    <row r="8">
      <c r="A8" s="1" t="n">
        <v>46259</v>
      </c>
      <c r="B8" s="3">
        <f>IFERROR(SUMIFS(Rates!$C:$C,Rates!$A:$A,$A8,Rates!$B:$B,B$1),"")</f>
        <v/>
      </c>
      <c r="C8" s="3">
        <f>IFERROR(SUMIFS(Rates!$C:$C,Rates!$A:$A,$A8,Rates!$B:$B,C$1),"")</f>
        <v/>
      </c>
      <c r="D8" s="3">
        <f>IFERROR(SUMIFS(Rates!$C:$C,Rates!$A:$A,$A8,Rates!$B:$B,D$1),"")</f>
        <v/>
      </c>
      <c r="E8" s="3">
        <f>IFERROR(SUMIFS(Rates!$C:$C,Rates!$A:$A,$A8,Rates!$B:$B,E$1),"")</f>
        <v/>
      </c>
    </row>
    <row r="9">
      <c r="A9" s="1" t="n">
        <v>46260</v>
      </c>
      <c r="B9" s="3">
        <f>IFERROR(SUMIFS(Rates!$C:$C,Rates!$A:$A,$A9,Rates!$B:$B,B$1),"")</f>
        <v/>
      </c>
      <c r="C9" s="3">
        <f>IFERROR(SUMIFS(Rates!$C:$C,Rates!$A:$A,$A9,Rates!$B:$B,C$1),"")</f>
        <v/>
      </c>
      <c r="D9" s="3">
        <f>IFERROR(SUMIFS(Rates!$C:$C,Rates!$A:$A,$A9,Rates!$B:$B,D$1),"")</f>
        <v/>
      </c>
      <c r="E9" s="3">
        <f>IFERROR(SUMIFS(Rates!$C:$C,Rates!$A:$A,$A9,Rates!$B:$B,E$1),"")</f>
        <v/>
      </c>
    </row>
    <row r="10">
      <c r="A10" s="1" t="n">
        <v>46261</v>
      </c>
      <c r="B10" s="3">
        <f>IFERROR(SUMIFS(Rates!$C:$C,Rates!$A:$A,$A10,Rates!$B:$B,B$1),"")</f>
        <v/>
      </c>
      <c r="C10" s="3">
        <f>IFERROR(SUMIFS(Rates!$C:$C,Rates!$A:$A,$A10,Rates!$B:$B,C$1),"")</f>
        <v/>
      </c>
      <c r="D10" s="3">
        <f>IFERROR(SUMIFS(Rates!$C:$C,Rates!$A:$A,$A10,Rates!$B:$B,D$1),"")</f>
        <v/>
      </c>
      <c r="E10" s="3">
        <f>IFERROR(SUMIFS(Rates!$C:$C,Rates!$A:$A,$A10,Rates!$B:$B,E$1),"")</f>
        <v/>
      </c>
    </row>
    <row r="11">
      <c r="A11" s="1" t="n">
        <v>46262</v>
      </c>
      <c r="B11" s="3">
        <f>IFERROR(SUMIFS(Rates!$C:$C,Rates!$A:$A,$A11,Rates!$B:$B,B$1),"")</f>
        <v/>
      </c>
      <c r="C11" s="3">
        <f>IFERROR(SUMIFS(Rates!$C:$C,Rates!$A:$A,$A11,Rates!$B:$B,C$1),"")</f>
        <v/>
      </c>
      <c r="D11" s="3">
        <f>IFERROR(SUMIFS(Rates!$C:$C,Rates!$A:$A,$A11,Rates!$B:$B,D$1),"")</f>
        <v/>
      </c>
      <c r="E11" s="3">
        <f>IFERROR(SUMIFS(Rates!$C:$C,Rates!$A:$A,$A11,Rates!$B:$B,E$1),"")</f>
        <v/>
      </c>
    </row>
    <row r="12">
      <c r="A12" s="1" t="n">
        <v>46265</v>
      </c>
      <c r="B12" s="3">
        <f>IFERROR(SUMIFS(Rates!$C:$C,Rates!$A:$A,$A12,Rates!$B:$B,B$1),"")</f>
        <v/>
      </c>
      <c r="C12" s="3">
        <f>IFERROR(SUMIFS(Rates!$C:$C,Rates!$A:$A,$A12,Rates!$B:$B,C$1),"")</f>
        <v/>
      </c>
      <c r="D12" s="3">
        <f>IFERROR(SUMIFS(Rates!$C:$C,Rates!$A:$A,$A12,Rates!$B:$B,D$1),"")</f>
        <v/>
      </c>
      <c r="E12" s="3">
        <f>IFERROR(SUMIFS(Rates!$C:$C,Rates!$A:$A,$A12,Rates!$B:$B,E$1),"")</f>
        <v/>
      </c>
    </row>
    <row r="13">
      <c r="A13" s="1" t="n">
        <v>46266</v>
      </c>
      <c r="B13" s="3">
        <f>IFERROR(SUMIFS(Rates!$C:$C,Rates!$A:$A,$A13,Rates!$B:$B,B$1),"")</f>
        <v/>
      </c>
      <c r="C13" s="3">
        <f>IFERROR(SUMIFS(Rates!$C:$C,Rates!$A:$A,$A13,Rates!$B:$B,C$1),"")</f>
        <v/>
      </c>
      <c r="D13" s="3">
        <f>IFERROR(SUMIFS(Rates!$C:$C,Rates!$A:$A,$A13,Rates!$B:$B,D$1),"")</f>
        <v/>
      </c>
      <c r="E13" s="3">
        <f>IFERROR(SUMIFS(Rates!$C:$C,Rates!$A:$A,$A13,Rates!$B:$B,E$1),"")</f>
        <v/>
      </c>
    </row>
    <row r="14">
      <c r="A14" s="1" t="n">
        <v>46267</v>
      </c>
      <c r="B14" s="3">
        <f>IFERROR(SUMIFS(Rates!$C:$C,Rates!$A:$A,$A14,Rates!$B:$B,B$1),"")</f>
        <v/>
      </c>
      <c r="C14" s="3">
        <f>IFERROR(SUMIFS(Rates!$C:$C,Rates!$A:$A,$A14,Rates!$B:$B,C$1),"")</f>
        <v/>
      </c>
      <c r="D14" s="3">
        <f>IFERROR(SUMIFS(Rates!$C:$C,Rates!$A:$A,$A14,Rates!$B:$B,D$1),"")</f>
        <v/>
      </c>
      <c r="E14" s="3">
        <f>IFERROR(SUMIFS(Rates!$C:$C,Rates!$A:$A,$A14,Rates!$B:$B,E$1),"")</f>
        <v/>
      </c>
    </row>
    <row r="15">
      <c r="A15" s="1" t="n">
        <v>46268</v>
      </c>
      <c r="B15" s="3">
        <f>IFERROR(SUMIFS(Rates!$C:$C,Rates!$A:$A,$A15,Rates!$B:$B,B$1),"")</f>
        <v/>
      </c>
      <c r="C15" s="3">
        <f>IFERROR(SUMIFS(Rates!$C:$C,Rates!$A:$A,$A15,Rates!$B:$B,C$1),"")</f>
        <v/>
      </c>
      <c r="D15" s="3">
        <f>IFERROR(SUMIFS(Rates!$C:$C,Rates!$A:$A,$A15,Rates!$B:$B,D$1),"")</f>
        <v/>
      </c>
      <c r="E15" s="3">
        <f>IFERROR(SUMIFS(Rates!$C:$C,Rates!$A:$A,$A15,Rates!$B:$B,E$1),"")</f>
        <v/>
      </c>
    </row>
    <row r="16">
      <c r="A16" s="1" t="n">
        <v>46269</v>
      </c>
      <c r="B16" s="3">
        <f>IFERROR(SUMIFS(Rates!$C:$C,Rates!$A:$A,$A16,Rates!$B:$B,B$1),"")</f>
        <v/>
      </c>
      <c r="C16" s="3">
        <f>IFERROR(SUMIFS(Rates!$C:$C,Rates!$A:$A,$A16,Rates!$B:$B,C$1),"")</f>
        <v/>
      </c>
      <c r="D16" s="3">
        <f>IFERROR(SUMIFS(Rates!$C:$C,Rates!$A:$A,$A16,Rates!$B:$B,D$1),"")</f>
        <v/>
      </c>
      <c r="E16" s="3">
        <f>IFERROR(SUMIFS(Rates!$C:$C,Rates!$A:$A,$A16,Rates!$B:$B,E$1),"")</f>
        <v/>
      </c>
    </row>
    <row r="17">
      <c r="A17" s="1" t="n">
        <v>46272</v>
      </c>
      <c r="B17" s="3">
        <f>IFERROR(SUMIFS(Rates!$C:$C,Rates!$A:$A,$A17,Rates!$B:$B,B$1),"")</f>
        <v/>
      </c>
      <c r="C17" s="3">
        <f>IFERROR(SUMIFS(Rates!$C:$C,Rates!$A:$A,$A17,Rates!$B:$B,C$1),"")</f>
        <v/>
      </c>
      <c r="D17" s="3">
        <f>IFERROR(SUMIFS(Rates!$C:$C,Rates!$A:$A,$A17,Rates!$B:$B,D$1),"")</f>
        <v/>
      </c>
      <c r="E17" s="3">
        <f>IFERROR(SUMIFS(Rates!$C:$C,Rates!$A:$A,$A17,Rates!$B:$B,E$1),"")</f>
        <v/>
      </c>
    </row>
    <row r="18">
      <c r="A18" s="1" t="n">
        <v>46273</v>
      </c>
      <c r="B18" s="3">
        <f>IFERROR(SUMIFS(Rates!$C:$C,Rates!$A:$A,$A18,Rates!$B:$B,B$1),"")</f>
        <v/>
      </c>
      <c r="C18" s="3">
        <f>IFERROR(SUMIFS(Rates!$C:$C,Rates!$A:$A,$A18,Rates!$B:$B,C$1),"")</f>
        <v/>
      </c>
      <c r="D18" s="3">
        <f>IFERROR(SUMIFS(Rates!$C:$C,Rates!$A:$A,$A18,Rates!$B:$B,D$1),"")</f>
        <v/>
      </c>
      <c r="E18" s="3">
        <f>IFERROR(SUMIFS(Rates!$C:$C,Rates!$A:$A,$A18,Rates!$B:$B,E$1),"")</f>
        <v/>
      </c>
    </row>
    <row r="19">
      <c r="A19" s="1" t="n">
        <v>46274</v>
      </c>
      <c r="B19" s="3">
        <f>IFERROR(SUMIFS(Rates!$C:$C,Rates!$A:$A,$A19,Rates!$B:$B,B$1),"")</f>
        <v/>
      </c>
      <c r="C19" s="3">
        <f>IFERROR(SUMIFS(Rates!$C:$C,Rates!$A:$A,$A19,Rates!$B:$B,C$1),"")</f>
        <v/>
      </c>
      <c r="D19" s="3">
        <f>IFERROR(SUMIFS(Rates!$C:$C,Rates!$A:$A,$A19,Rates!$B:$B,D$1),"")</f>
        <v/>
      </c>
      <c r="E19" s="3">
        <f>IFERROR(SUMIFS(Rates!$C:$C,Rates!$A:$A,$A19,Rates!$B:$B,E$1),"")</f>
        <v/>
      </c>
    </row>
    <row r="20">
      <c r="A20" s="1" t="n">
        <v>46275</v>
      </c>
      <c r="B20" s="3">
        <f>IFERROR(SUMIFS(Rates!$C:$C,Rates!$A:$A,$A20,Rates!$B:$B,B$1),"")</f>
        <v/>
      </c>
      <c r="C20" s="3">
        <f>IFERROR(SUMIFS(Rates!$C:$C,Rates!$A:$A,$A20,Rates!$B:$B,C$1),"")</f>
        <v/>
      </c>
      <c r="D20" s="3">
        <f>IFERROR(SUMIFS(Rates!$C:$C,Rates!$A:$A,$A20,Rates!$B:$B,D$1),"")</f>
        <v/>
      </c>
      <c r="E20" s="3">
        <f>IFERROR(SUMIFS(Rates!$C:$C,Rates!$A:$A,$A20,Rates!$B:$B,E$1),"")</f>
        <v/>
      </c>
    </row>
    <row r="21">
      <c r="A21" s="1" t="n">
        <v>46276</v>
      </c>
      <c r="B21" s="3">
        <f>IFERROR(SUMIFS(Rates!$C:$C,Rates!$A:$A,$A21,Rates!$B:$B,B$1),"")</f>
        <v/>
      </c>
      <c r="C21" s="3">
        <f>IFERROR(SUMIFS(Rates!$C:$C,Rates!$A:$A,$A21,Rates!$B:$B,C$1),"")</f>
        <v/>
      </c>
      <c r="D21" s="3">
        <f>IFERROR(SUMIFS(Rates!$C:$C,Rates!$A:$A,$A21,Rates!$B:$B,D$1),"")</f>
        <v/>
      </c>
      <c r="E21" s="3">
        <f>IFERROR(SUMIFS(Rates!$C:$C,Rates!$A:$A,$A21,Rates!$B:$B,E$1),"")</f>
        <v/>
      </c>
    </row>
    <row r="22">
      <c r="A22" s="1" t="n">
        <v>46279</v>
      </c>
      <c r="B22" s="3">
        <f>IFERROR(SUMIFS(Rates!$C:$C,Rates!$A:$A,$A22,Rates!$B:$B,B$1),"")</f>
        <v/>
      </c>
      <c r="C22" s="3">
        <f>IFERROR(SUMIFS(Rates!$C:$C,Rates!$A:$A,$A22,Rates!$B:$B,C$1),"")</f>
        <v/>
      </c>
      <c r="D22" s="3">
        <f>IFERROR(SUMIFS(Rates!$C:$C,Rates!$A:$A,$A22,Rates!$B:$B,D$1),"")</f>
        <v/>
      </c>
      <c r="E22" s="3">
        <f>IFERROR(SUMIFS(Rates!$C:$C,Rates!$A:$A,$A22,Rates!$B:$B,E$1),"")</f>
        <v/>
      </c>
    </row>
    <row r="23">
      <c r="A23" s="1" t="n">
        <v>46280</v>
      </c>
      <c r="B23" s="3">
        <f>IFERROR(SUMIFS(Rates!$C:$C,Rates!$A:$A,$A23,Rates!$B:$B,B$1),"")</f>
        <v/>
      </c>
      <c r="C23" s="3">
        <f>IFERROR(SUMIFS(Rates!$C:$C,Rates!$A:$A,$A23,Rates!$B:$B,C$1),"")</f>
        <v/>
      </c>
      <c r="D23" s="3">
        <f>IFERROR(SUMIFS(Rates!$C:$C,Rates!$A:$A,$A23,Rates!$B:$B,D$1),"")</f>
        <v/>
      </c>
      <c r="E23" s="3">
        <f>IFERROR(SUMIFS(Rates!$C:$C,Rates!$A:$A,$A23,Rates!$B:$B,E$1),"")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</cols>
  <sheetData>
    <row r="1">
      <c r="A1" s="5" t="inlineStr">
        <is>
          <t>Currency pair</t>
        </is>
      </c>
      <c r="B1" s="5" t="inlineStr">
        <is>
          <t>Observations</t>
        </is>
      </c>
      <c r="C1" s="5" t="inlineStr">
        <is>
          <t>Average rate</t>
        </is>
      </c>
      <c r="D1" s="5" t="inlineStr">
        <is>
          <t>Lowest</t>
        </is>
      </c>
      <c r="E1" s="5" t="inlineStr">
        <is>
          <t>Highest</t>
        </is>
      </c>
      <c r="F1" s="5" t="inlineStr">
        <is>
          <t>Range</t>
        </is>
      </c>
      <c r="G1" s="5" t="inlineStr">
        <is>
          <t>Largest rise</t>
        </is>
      </c>
      <c r="H1" s="5" t="inlineStr">
        <is>
          <t>Largest fall</t>
        </is>
      </c>
    </row>
    <row r="2">
      <c r="A2" t="inlineStr">
        <is>
          <t>EUR/CAD</t>
        </is>
      </c>
      <c r="B2">
        <f>COUNTIFS(Rates!$B:$B,$A2)</f>
        <v/>
      </c>
      <c r="C2" s="3">
        <f>AVERAGEIFS(Rates!$C:$C,Rates!$B:$B,$A2)</f>
        <v/>
      </c>
      <c r="D2" s="3">
        <f>MINIFS(Rates!$C:$C,Rates!$B:$B,$A2)</f>
        <v/>
      </c>
      <c r="E2" s="3">
        <f>MAXIFS(Rates!$C:$C,Rates!$B:$B,$A2)</f>
        <v/>
      </c>
      <c r="F2" s="3">
        <f>E2-D2</f>
        <v/>
      </c>
      <c r="G2" s="3">
        <f>MAXIFS(Rates!$D:$D,Rates!$B:$B,$A2)</f>
        <v/>
      </c>
      <c r="H2" s="3">
        <f>MINIFS(Rates!$D:$D,Rates!$B:$B,$A2)</f>
        <v/>
      </c>
    </row>
    <row r="3">
      <c r="A3" t="inlineStr">
        <is>
          <t>EUR/GBP</t>
        </is>
      </c>
      <c r="B3">
        <f>COUNTIFS(Rates!$B:$B,$A3)</f>
        <v/>
      </c>
      <c r="C3" s="3">
        <f>AVERAGEIFS(Rates!$C:$C,Rates!$B:$B,$A3)</f>
        <v/>
      </c>
      <c r="D3" s="3">
        <f>MINIFS(Rates!$C:$C,Rates!$B:$B,$A3)</f>
        <v/>
      </c>
      <c r="E3" s="3">
        <f>MAXIFS(Rates!$C:$C,Rates!$B:$B,$A3)</f>
        <v/>
      </c>
      <c r="F3" s="3">
        <f>E3-D3</f>
        <v/>
      </c>
      <c r="G3" s="3">
        <f>MAXIFS(Rates!$D:$D,Rates!$B:$B,$A3)</f>
        <v/>
      </c>
      <c r="H3" s="3">
        <f>MINIFS(Rates!$D:$D,Rates!$B:$B,$A3)</f>
        <v/>
      </c>
    </row>
    <row r="4">
      <c r="A4" t="inlineStr">
        <is>
          <t>EUR/INR</t>
        </is>
      </c>
      <c r="B4">
        <f>COUNTIFS(Rates!$B:$B,$A4)</f>
        <v/>
      </c>
      <c r="C4" s="3">
        <f>AVERAGEIFS(Rates!$C:$C,Rates!$B:$B,$A4)</f>
        <v/>
      </c>
      <c r="D4" s="3">
        <f>MINIFS(Rates!$C:$C,Rates!$B:$B,$A4)</f>
        <v/>
      </c>
      <c r="E4" s="3">
        <f>MAXIFS(Rates!$C:$C,Rates!$B:$B,$A4)</f>
        <v/>
      </c>
      <c r="F4" s="3">
        <f>E4-D4</f>
        <v/>
      </c>
      <c r="G4" s="3">
        <f>MAXIFS(Rates!$D:$D,Rates!$B:$B,$A4)</f>
        <v/>
      </c>
      <c r="H4" s="3">
        <f>MINIFS(Rates!$D:$D,Rates!$B:$B,$A4)</f>
        <v/>
      </c>
    </row>
    <row r="5">
      <c r="A5" t="inlineStr">
        <is>
          <t>EUR/USD</t>
        </is>
      </c>
      <c r="B5">
        <f>COUNTIFS(Rates!$B:$B,$A5)</f>
        <v/>
      </c>
      <c r="C5" s="3">
        <f>AVERAGEIFS(Rates!$C:$C,Rates!$B:$B,$A5)</f>
        <v/>
      </c>
      <c r="D5" s="3">
        <f>MINIFS(Rates!$C:$C,Rates!$B:$B,$A5)</f>
        <v/>
      </c>
      <c r="E5" s="3">
        <f>MAXIFS(Rates!$C:$C,Rates!$B:$B,$A5)</f>
        <v/>
      </c>
      <c r="F5" s="3">
        <f>E5-D5</f>
        <v/>
      </c>
      <c r="G5" s="3">
        <f>MAXIFS(Rates!$D:$D,Rates!$B:$B,$A5)</f>
        <v/>
      </c>
      <c r="H5" s="3">
        <f>MINIFS(Rates!$D:$D,Rates!$B:$B,$A5)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6" customWidth="1" min="1" max="1"/>
    <col width="95" customWidth="1" min="2" max="2"/>
  </cols>
  <sheetData>
    <row r="1">
      <c r="A1" s="6" t="inlineStr">
        <is>
          <t>FundEd exchange rates workbook</t>
        </is>
      </c>
    </row>
    <row r="3">
      <c r="A3" t="inlineStr">
        <is>
          <t>Source</t>
        </is>
      </c>
      <c r="B3" t="inlineStr">
        <is>
          <t>dbo.vw_fx_rates_daily in Azure SQL, loaded by the Azure Data Factory pipeline in infra/data</t>
        </is>
      </c>
    </row>
    <row r="4">
      <c r="A4" t="inlineStr">
        <is>
          <t>Rows</t>
        </is>
      </c>
      <c r="B4" t="inlineStr">
        <is>
          <t>88 observations, 4 currency pairs, 2026-08-17 to 2026-09-15</t>
        </is>
      </c>
    </row>
    <row r="5">
      <c r="A5" t="inlineStr">
        <is>
          <t>Rates sheet</t>
        </is>
      </c>
      <c r="B5" t="inlineStr">
        <is>
          <t>The data as loaded, as a filterable Excel table</t>
        </is>
      </c>
    </row>
    <row r="6">
      <c r="A6" t="inlineStr">
        <is>
          <t>Daily by pair</t>
        </is>
      </c>
      <c r="B6" t="inlineStr">
        <is>
          <t>One column per pair, each cell a SUMIFS against the Rates sheet, charted as a line</t>
        </is>
      </c>
    </row>
    <row r="7">
      <c r="A7" t="inlineStr">
        <is>
          <t>Summary</t>
        </is>
      </c>
      <c r="B7" t="inlineStr">
        <is>
          <t>Per-pair counts, averages, range and largest moves, all live formulas, charted as a bar</t>
        </is>
      </c>
    </row>
    <row r="9">
      <c r="A9" t="inlineStr">
        <is>
          <t>Note</t>
        </is>
      </c>
      <c r="B9" t="inlineStr">
        <is>
          <t>Weekends are absent because the European Central Bank does not publish rates then</t>
        </is>
      </c>
    </row>
    <row r="10">
      <c r="A10" t="inlineStr">
        <is>
          <t>Note</t>
        </is>
      </c>
      <c r="B10" t="inlineStr">
        <is>
          <t>The earliest date has no daily move because there is no previous day to compare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2026-09-16T12:55:01Z</dcterms:created>
  <dcterms:modified xsi:type="dcterms:W3CDTF">2026-09-16T12:55:01Z</dcterms:modified>
</cp:coreProperties>
</file>